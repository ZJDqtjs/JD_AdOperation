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680" windowHeight="11100" tabRatio="600" firstSheet="0" activeTab="3" autoFilterDateGrouping="1"/>
  </bookViews>
  <sheets>
    <sheet name="预算分配" sheetId="1" state="visible" r:id="rId1"/>
    <sheet name="计算公式" sheetId="2" state="visible" r:id="rId2"/>
    <sheet name="搜推词分析" sheetId="3" state="visible" r:id="rId3"/>
    <sheet name="竞品分析表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46">
    <font>
      <name val="等线"/>
      <charset val="134"/>
      <color theme="1"/>
      <sz val="12"/>
      <scheme val="minor"/>
    </font>
    <font>
      <name val="JingDongLangZhengTi Regular"/>
      <charset val="134"/>
      <b val="1"/>
      <color rgb="FFC00000"/>
      <sz val="12"/>
    </font>
    <font>
      <name val="微软雅黑"/>
      <charset val="134"/>
      <family val="2"/>
      <b val="1"/>
      <sz val="12"/>
    </font>
    <font>
      <name val="JingDongLangZhengTi Regular"/>
      <charset val="134"/>
      <family val="2"/>
      <b val="1"/>
      <sz val="12"/>
    </font>
    <font>
      <name val="微软雅黑"/>
      <charset val="134"/>
      <sz val="12"/>
    </font>
    <font>
      <name val="JingDongLangZhengTi Regular"/>
      <charset val="134"/>
      <b val="1"/>
      <color theme="1"/>
      <sz val="12"/>
    </font>
    <font>
      <name val="微软雅黑"/>
      <charset val="134"/>
      <b val="1"/>
      <sz val="12"/>
    </font>
    <font>
      <name val="宋体"/>
      <charset val="134"/>
      <sz val="12"/>
    </font>
    <font>
      <name val="等线"/>
      <charset val="134"/>
      <b val="1"/>
      <color theme="0"/>
      <sz val="20"/>
      <scheme val="minor"/>
    </font>
    <font>
      <name val="微软雅黑 Bold"/>
      <charset val="134"/>
      <b val="1"/>
      <color theme="0"/>
      <sz val="20"/>
    </font>
    <font>
      <name val="微软雅黑"/>
      <charset val="134"/>
      <b val="1"/>
      <sz val="20"/>
    </font>
    <font>
      <name val="等线"/>
      <charset val="134"/>
      <b val="1"/>
      <color rgb="FFFFFF00"/>
      <sz val="20"/>
      <scheme val="minor"/>
    </font>
    <font>
      <name val="等线"/>
      <charset val="134"/>
      <b val="1"/>
      <color theme="0"/>
      <sz val="12"/>
      <scheme val="minor"/>
    </font>
    <font>
      <name val="等线"/>
      <charset val="134"/>
      <b val="1"/>
      <color rgb="FFFF0000"/>
      <sz val="20"/>
      <scheme val="minor"/>
    </font>
    <font>
      <name val="微软雅黑"/>
      <charset val="134"/>
      <b val="1"/>
      <color theme="0"/>
      <sz val="20"/>
    </font>
    <font>
      <name val="JingDongLangZhengTi Regular"/>
      <charset val="134"/>
      <b val="1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theme="0"/>
      <sz val="12"/>
    </font>
    <font>
      <name val="Arial"/>
      <charset val="134"/>
      <family val="2"/>
      <b val="1"/>
      <sz val="12"/>
    </font>
    <font>
      <name val="Microsoft YaHei UI"/>
      <charset val="134"/>
      <b val="1"/>
      <color rgb="FF000000"/>
      <sz val="12"/>
    </font>
    <font>
      <name val="Microsoft YaHei UI"/>
      <charset val="134"/>
      <b val="1"/>
      <color rgb="FF000000"/>
      <sz val="20"/>
    </font>
    <font>
      <name val="Microsoft YaHei UI"/>
      <charset val="134"/>
      <b val="1"/>
      <color rgb="FF000000"/>
      <sz val="10"/>
    </font>
    <font>
      <name val="Microsoft YaHei UI"/>
      <charset val="134"/>
      <b val="1"/>
      <color rgb="FF000000"/>
      <sz val="16"/>
    </font>
    <font>
      <name val="Microsoft YaHei UI"/>
      <charset val="134"/>
      <color rgb="FF000000"/>
      <sz val="10"/>
    </font>
    <font>
      <name val="Microsoft YaHei UI"/>
      <charset val="134"/>
      <color rgb="FF000000"/>
      <sz val="14"/>
    </font>
    <font>
      <name val="Microsoft YaHei UI"/>
      <charset val="134"/>
      <b val="1"/>
      <color rgb="FF000000"/>
      <sz val="18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17" fillId="0" borderId="0" applyAlignment="1">
      <alignment vertical="center"/>
    </xf>
    <xf numFmtId="44" fontId="17" fillId="0" borderId="0" applyAlignment="1">
      <alignment vertical="center"/>
    </xf>
    <xf numFmtId="9" fontId="17" fillId="0" borderId="0" applyAlignment="1">
      <alignment vertical="center"/>
    </xf>
    <xf numFmtId="41" fontId="17" fillId="0" borderId="0" applyAlignment="1">
      <alignment vertical="center"/>
    </xf>
    <xf numFmtId="42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17" fillId="7" borderId="19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20" applyAlignment="1">
      <alignment vertical="center"/>
    </xf>
    <xf numFmtId="0" fontId="24" fillId="0" borderId="20" applyAlignment="1">
      <alignment vertical="center"/>
    </xf>
    <xf numFmtId="0" fontId="25" fillId="0" borderId="21" applyAlignment="1">
      <alignment vertical="center"/>
    </xf>
    <xf numFmtId="0" fontId="25" fillId="0" borderId="0" applyAlignment="1">
      <alignment vertical="center"/>
    </xf>
    <xf numFmtId="0" fontId="26" fillId="8" borderId="22" applyAlignment="1">
      <alignment vertical="center"/>
    </xf>
    <xf numFmtId="0" fontId="27" fillId="9" borderId="23" applyAlignment="1">
      <alignment vertical="center"/>
    </xf>
    <xf numFmtId="0" fontId="28" fillId="9" borderId="22" applyAlignment="1">
      <alignment vertical="center"/>
    </xf>
    <xf numFmtId="0" fontId="29" fillId="10" borderId="24" applyAlignment="1">
      <alignment vertical="center"/>
    </xf>
    <xf numFmtId="0" fontId="30" fillId="0" borderId="25" applyAlignment="1">
      <alignment vertical="center"/>
    </xf>
    <xf numFmtId="0" fontId="31" fillId="0" borderId="26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5" fillId="14" borderId="0" applyAlignment="1">
      <alignment vertical="center"/>
    </xf>
    <xf numFmtId="0" fontId="36" fillId="15" borderId="0" applyAlignment="1">
      <alignment vertical="center"/>
    </xf>
    <xf numFmtId="0" fontId="36" fillId="16" borderId="0" applyAlignment="1">
      <alignment vertical="center"/>
    </xf>
    <xf numFmtId="0" fontId="35" fillId="17" borderId="0" applyAlignment="1">
      <alignment vertical="center"/>
    </xf>
    <xf numFmtId="0" fontId="35" fillId="18" borderId="0" applyAlignment="1">
      <alignment vertical="center"/>
    </xf>
    <xf numFmtId="0" fontId="36" fillId="19" borderId="0" applyAlignment="1">
      <alignment vertical="center"/>
    </xf>
    <xf numFmtId="0" fontId="36" fillId="20" borderId="0" applyAlignment="1">
      <alignment vertical="center"/>
    </xf>
    <xf numFmtId="0" fontId="35" fillId="21" borderId="0" applyAlignment="1">
      <alignment vertical="center"/>
    </xf>
    <xf numFmtId="0" fontId="35" fillId="22" borderId="0" applyAlignment="1">
      <alignment vertical="center"/>
    </xf>
    <xf numFmtId="0" fontId="36" fillId="23" borderId="0" applyAlignment="1">
      <alignment vertical="center"/>
    </xf>
    <xf numFmtId="0" fontId="36" fillId="24" borderId="0" applyAlignment="1">
      <alignment vertical="center"/>
    </xf>
    <xf numFmtId="0" fontId="35" fillId="25" borderId="0" applyAlignment="1">
      <alignment vertical="center"/>
    </xf>
    <xf numFmtId="0" fontId="35" fillId="26" borderId="0" applyAlignment="1">
      <alignment vertical="center"/>
    </xf>
    <xf numFmtId="0" fontId="36" fillId="27" borderId="0" applyAlignment="1">
      <alignment vertical="center"/>
    </xf>
    <xf numFmtId="0" fontId="36" fillId="28" borderId="0" applyAlignment="1">
      <alignment vertical="center"/>
    </xf>
    <xf numFmtId="0" fontId="35" fillId="29" borderId="0" applyAlignment="1">
      <alignment vertical="center"/>
    </xf>
    <xf numFmtId="0" fontId="35" fillId="30" borderId="0" applyAlignment="1">
      <alignment vertical="center"/>
    </xf>
    <xf numFmtId="0" fontId="36" fillId="31" borderId="0" applyAlignment="1">
      <alignment vertical="center"/>
    </xf>
    <xf numFmtId="0" fontId="36" fillId="32" borderId="0" applyAlignment="1">
      <alignment vertical="center"/>
    </xf>
    <xf numFmtId="0" fontId="35" fillId="33" borderId="0" applyAlignment="1">
      <alignment vertical="center"/>
    </xf>
    <xf numFmtId="0" fontId="35" fillId="34" borderId="0" applyAlignment="1">
      <alignment vertical="center"/>
    </xf>
    <xf numFmtId="0" fontId="36" fillId="35" borderId="0" applyAlignment="1">
      <alignment vertical="center"/>
    </xf>
    <xf numFmtId="0" fontId="36" fillId="36" borderId="0" applyAlignment="1">
      <alignment vertical="center"/>
    </xf>
    <xf numFmtId="0" fontId="35" fillId="37" borderId="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164" fontId="4" fillId="0" borderId="10" applyAlignment="1" pivotButton="0" quotePrefix="0" xfId="0">
      <alignment horizontal="center" vertical="center"/>
    </xf>
    <xf numFmtId="165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9" fillId="4" borderId="14" applyAlignment="1" pivotButton="0" quotePrefix="0" xfId="0">
      <alignment horizontal="center" vertical="center"/>
    </xf>
    <xf numFmtId="0" fontId="9" fillId="4" borderId="15" applyAlignment="1" pivotButton="0" quotePrefix="0" xfId="0">
      <alignment horizontal="center" vertical="center"/>
    </xf>
    <xf numFmtId="0" fontId="10" fillId="5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2" fillId="3" borderId="1" applyAlignment="1" pivotButton="0" quotePrefix="0" xfId="0">
      <alignment vertical="center" wrapText="1"/>
    </xf>
    <xf numFmtId="0" fontId="13" fillId="3" borderId="1" applyAlignment="1" pivotButton="0" quotePrefix="0" xfId="0">
      <alignment vertical="center"/>
    </xf>
    <xf numFmtId="0" fontId="12" fillId="3" borderId="1" applyAlignment="1" pivotButton="0" quotePrefix="0" xfId="0">
      <alignment vertical="center"/>
    </xf>
    <xf numFmtId="0" fontId="8" fillId="3" borderId="16" applyAlignment="1" pivotButton="0" quotePrefix="0" xfId="0">
      <alignment vertical="center" wrapText="1"/>
    </xf>
    <xf numFmtId="0" fontId="8" fillId="3" borderId="17" applyAlignment="1" pivotButton="0" quotePrefix="0" xfId="0">
      <alignment vertical="center" wrapText="1"/>
    </xf>
    <xf numFmtId="0" fontId="8" fillId="3" borderId="1" applyAlignment="1" pivotButton="0" quotePrefix="0" xfId="0">
      <alignment vertical="center"/>
    </xf>
    <xf numFmtId="10" fontId="8" fillId="3" borderId="1" applyAlignment="1" pivotButton="0" quotePrefix="0" xfId="0">
      <alignment vertical="center"/>
    </xf>
    <xf numFmtId="0" fontId="8" fillId="3" borderId="18" applyAlignment="1" pivotButton="0" quotePrefix="0" xfId="0">
      <alignment vertical="center" wrapText="1"/>
    </xf>
    <xf numFmtId="0" fontId="9" fillId="4" borderId="18" applyAlignment="1" pivotButton="0" quotePrefix="0" xfId="0">
      <alignment horizontal="center" vertical="center"/>
    </xf>
    <xf numFmtId="0" fontId="14" fillId="4" borderId="1" applyAlignment="1" pivotButton="0" quotePrefix="0" xfId="0">
      <alignment vertical="center"/>
    </xf>
    <xf numFmtId="0" fontId="8" fillId="3" borderId="16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/>
    </xf>
    <xf numFmtId="10" fontId="11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9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6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13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5" pivotButton="0" quotePrefix="0" xfId="0"/>
    <xf numFmtId="0" fontId="0" fillId="0" borderId="17" pivotButton="0" quotePrefix="0" xfId="0"/>
    <xf numFmtId="0" fontId="8" fillId="3" borderId="1" applyAlignment="1" pivotButton="0" quotePrefix="0" xfId="0">
      <alignment vertical="center" wrapText="1"/>
    </xf>
    <xf numFmtId="0" fontId="0" fillId="0" borderId="18" pivotButton="0" quotePrefix="0" xfId="0"/>
    <xf numFmtId="0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/>
    </xf>
    <xf numFmtId="164" fontId="4" fillId="0" borderId="10" applyAlignment="1" pivotButton="0" quotePrefix="0" xfId="0">
      <alignment horizontal="center" vertical="center"/>
    </xf>
    <xf numFmtId="165" fontId="4" fillId="0" borderId="10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Microsoft Office 用户</author>
  </authors>
  <commentList>
    <comment ref="A9" authorId="0" shapeId="0">
      <text>
        <t xml:space="preserve">直通车点击量
</t>
      </text>
    </comment>
    <comment ref="B9" authorId="0" shapeId="0">
      <text>
        <t xml:space="preserve">直通车点击量
</t>
      </text>
    </comment>
    <comment ref="C9" authorId="0" shapeId="0">
      <text>
        <t>单次点击费用</t>
      </text>
    </comment>
    <comment ref="E9" authorId="0" shapeId="0">
      <text>
        <t>花费费用
公式=点击率*PPC</t>
      </text>
    </comment>
    <comment ref="F9" authorId="0" shapeId="0">
      <text>
        <t>成交金额=点击量*转化率*客单价</t>
      </text>
    </comment>
    <comment ref="G9" authorId="0" shapeId="0">
      <text>
        <t>实际销售=成交金额-退款金额</t>
      </text>
    </comment>
    <comment ref="H9" authorId="0" shapeId="0">
      <text>
        <t>产品拿货成本：去市场拿货价格
产品生产成本：自主生产</t>
      </text>
    </comment>
    <comment ref="I9" authorId="0" shapeId="0">
      <text>
        <t>成交的价格</t>
      </text>
    </comment>
    <comment ref="J9" authorId="0" shapeId="0">
      <text>
        <t>天猫店平台扣点
=客单价*类目扣点
如果是c店没有扣点</t>
      </text>
    </comment>
    <comment ref="K9" authorId="0" shapeId="0">
      <text>
        <t>发一件货的成本
要算上打包费用
也要算上礼物成本</t>
      </text>
    </comment>
    <comment ref="L9" authorId="0" shapeId="0">
      <text>
        <t xml:space="preserve">利润=客单价-所有成本
</t>
      </text>
    </comment>
    <comment ref="M9" authorId="0" shapeId="0">
      <text>
        <t>毛利率=利润/客单价</t>
      </text>
    </comment>
    <comment ref="N9" authorId="0" shapeId="0">
      <text>
        <t xml:space="preserve">ROI=成交金额/花费金额
</t>
      </text>
    </comment>
    <comment ref="O9" authorId="0" shapeId="0">
      <text>
        <t>产出笔数=流量*转化率</t>
      </text>
    </comment>
    <comment ref="P9" authorId="0" shapeId="0">
      <text>
        <t xml:space="preserve">假如总花费，是按月计算
每日花费=总花费/30天
假如总花费，是按7天计算
每日花费=总花费/7天
</t>
      </text>
    </comment>
    <comment ref="A16" authorId="0" shapeId="0">
      <text>
        <t xml:space="preserve">直通车点击量
</t>
      </text>
    </comment>
    <comment ref="B16" authorId="0" shapeId="0">
      <text>
        <t xml:space="preserve">直通车点击量
</t>
      </text>
    </comment>
    <comment ref="C16" authorId="0" shapeId="0">
      <text>
        <t>单次点击费用</t>
      </text>
    </comment>
    <comment ref="E16" authorId="0" shapeId="0">
      <text>
        <t>花费费用
公式=点击率*PPC</t>
      </text>
    </comment>
    <comment ref="F16" authorId="0" shapeId="0">
      <text>
        <t>成交金额=点击量*转化率*客单价</t>
      </text>
    </comment>
    <comment ref="G16" authorId="0" shapeId="0">
      <text>
        <t>实际销售=成交金额-退款金额</t>
      </text>
    </comment>
    <comment ref="H16" authorId="0" shapeId="0">
      <text>
        <t>产品拿货成本：去市场拿货价格
产品生产成本：自主生产</t>
      </text>
    </comment>
    <comment ref="I16" authorId="0" shapeId="0">
      <text>
        <t>成交的价格</t>
      </text>
    </comment>
    <comment ref="J16" authorId="0" shapeId="0">
      <text>
        <t>天猫店平台扣点
=客单价*类目扣点
如果是c店没有扣点</t>
      </text>
    </comment>
    <comment ref="K16" authorId="0" shapeId="0">
      <text>
        <t>发一件货的成本
要算上打包费用
也要算上礼物成本</t>
      </text>
    </comment>
    <comment ref="L16" authorId="0" shapeId="0">
      <text>
        <t xml:space="preserve">利润=客单价-所有成本
</t>
      </text>
    </comment>
    <comment ref="M16" authorId="0" shapeId="0">
      <text>
        <t>毛利率=利润/客单价</t>
      </text>
    </comment>
    <comment ref="N16" authorId="0" shapeId="0">
      <text>
        <t xml:space="preserve">ROI=成交金额/花费金额
</t>
      </text>
    </comment>
    <comment ref="O16" authorId="0" shapeId="0">
      <text>
        <t>产出笔数=流量*转化率</t>
      </text>
    </comment>
    <comment ref="P16" authorId="0" shapeId="0">
      <text>
        <t xml:space="preserve">假如总花费，是按月计算
每日花费=总花费/30天
假如总花费，是按7天计算
每日花费=总花费/7天
</t>
      </text>
    </comment>
    <comment ref="A23" authorId="0" shapeId="0">
      <text>
        <t xml:space="preserve">直通车点击量
</t>
      </text>
    </comment>
    <comment ref="B23" authorId="0" shapeId="0">
      <text>
        <t xml:space="preserve">直通车点击量
</t>
      </text>
    </comment>
    <comment ref="C23" authorId="0" shapeId="0">
      <text>
        <t>单次点击费用</t>
      </text>
    </comment>
    <comment ref="E23" authorId="0" shapeId="0">
      <text>
        <t>花费费用
公式=点击率*PPC</t>
      </text>
    </comment>
    <comment ref="F23" authorId="0" shapeId="0">
      <text>
        <t>成交金额=点击量*转化率*客单价</t>
      </text>
    </comment>
    <comment ref="G23" authorId="0" shapeId="0">
      <text>
        <t>实际销售=成交金额-退款金额</t>
      </text>
    </comment>
    <comment ref="H23" authorId="0" shapeId="0">
      <text>
        <t>产品拿货成本：去市场拿货价格
产品生产成本：自主生产</t>
      </text>
    </comment>
    <comment ref="I23" authorId="0" shapeId="0">
      <text>
        <t>成交的价格</t>
      </text>
    </comment>
    <comment ref="J23" authorId="0" shapeId="0">
      <text>
        <t>天猫店平台扣点
=客单价*类目扣点
如果是c店没有扣点</t>
      </text>
    </comment>
    <comment ref="K23" authorId="0" shapeId="0">
      <text>
        <t>发一件货的成本
要算上打包费用
也要算上礼物成本</t>
      </text>
    </comment>
    <comment ref="L23" authorId="0" shapeId="0">
      <text>
        <t xml:space="preserve">利润=客单价-所有成本
</t>
      </text>
    </comment>
    <comment ref="M23" authorId="0" shapeId="0">
      <text>
        <t>毛利率=利润/客单价</t>
      </text>
    </comment>
    <comment ref="N23" authorId="0" shapeId="0">
      <text>
        <t xml:space="preserve">ROI=成交金额/花费金额
</t>
      </text>
    </comment>
    <comment ref="O23" authorId="0" shapeId="0">
      <text>
        <t>产出笔数=流量*转化率</t>
      </text>
    </comment>
    <comment ref="P23" authorId="0" shapeId="0">
      <text>
        <t xml:space="preserve">假如总花费，是按月计算
每日花费=总花费/30天
假如总花费，是按7天计算
每日花费=总花费/7天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9:O33"/>
  <sheetViews>
    <sheetView topLeftCell="A5" workbookViewId="0">
      <selection activeCell="C31" sqref="C31"/>
    </sheetView>
  </sheetViews>
  <sheetFormatPr baseColWidth="8" defaultColWidth="9.06666666666667" defaultRowHeight="17.6"/>
  <cols>
    <col width="18.6083333333333" customWidth="1" style="66" min="1" max="1"/>
    <col width="11.7333333333333" customWidth="1" style="66" min="2" max="8"/>
  </cols>
  <sheetData>
    <row r="19">
      <c r="A19" s="0" t="inlineStr">
        <is>
          <t>示例商品A(商智, 2026-01-01~2026-01-05)</t>
        </is>
      </c>
      <c r="B19" s="14" t="inlineStr">
        <is>
          <t>7-15天周期</t>
        </is>
      </c>
      <c r="C19" s="14" t="inlineStr">
        <is>
          <t>时间周期</t>
        </is>
      </c>
      <c r="D19" s="14" t="inlineStr">
        <is>
          <t>时间周期</t>
        </is>
      </c>
      <c r="E19" s="14" t="inlineStr">
        <is>
          <t>时间周期</t>
        </is>
      </c>
      <c r="F19" s="14" t="inlineStr">
        <is>
          <t>时间周期</t>
        </is>
      </c>
      <c r="G19" s="14" t="inlineStr">
        <is>
          <t>时间周期</t>
        </is>
      </c>
      <c r="H19" s="14" t="inlineStr">
        <is>
          <t>时间周期</t>
        </is>
      </c>
    </row>
    <row r="20" ht="23.2" customHeight="1" s="66">
      <c r="A20" s="64" t="inlineStr">
        <is>
          <t>总访客量</t>
        </is>
      </c>
      <c r="B20" s="65" t="n">
        <v>5000</v>
      </c>
      <c r="C20" s="14" t="n"/>
      <c r="D20" s="14" t="n"/>
      <c r="E20" s="14" t="n"/>
      <c r="F20" s="14" t="n"/>
      <c r="G20" s="14" t="n"/>
      <c r="H20" s="14" t="n"/>
      <c r="J20" s="30" t="inlineStr">
        <is>
          <t>分析目的：了解店铺流量的基础结构，做预算拉新收割量的分配
一、新店新品初期：_x000b_拉新【70-80%】_x000b_收割【20-30%】
二、店铺后期：分析占比
1.免费占比：50-70%
预算可以更多分配至收割：70-80%
2.免费占比：40-30%
付费需要承担更多拉新，收割：50-60%</t>
        </is>
      </c>
      <c r="K20" s="67" t="n"/>
      <c r="L20" s="67" t="n"/>
      <c r="M20" s="67" t="n"/>
      <c r="N20" s="67" t="n"/>
      <c r="O20" s="68" t="n"/>
    </row>
    <row r="21" ht="23.2" customHeight="1" s="66">
      <c r="A21" s="64" t="inlineStr">
        <is>
          <t>付费访客量</t>
        </is>
      </c>
      <c r="B21" s="65" t="n"/>
      <c r="C21" s="14" t="n"/>
      <c r="D21" s="14" t="n"/>
      <c r="E21" s="14" t="n"/>
      <c r="F21" s="14" t="n"/>
      <c r="G21" s="14" t="n"/>
      <c r="H21" s="14" t="n"/>
      <c r="J21" s="69" t="n"/>
      <c r="O21" s="70" t="n"/>
    </row>
    <row r="22" ht="23.2" customHeight="1" s="66">
      <c r="A22" s="64" t="inlineStr">
        <is>
          <t>免费访客量</t>
        </is>
      </c>
      <c r="B22" s="65" t="n"/>
      <c r="C22" s="14" t="n"/>
      <c r="D22" s="14" t="n"/>
      <c r="E22" s="14" t="n"/>
      <c r="F22" s="14" t="n"/>
      <c r="G22" s="14" t="n"/>
      <c r="H22" s="14" t="n"/>
      <c r="J22" s="69" t="n"/>
      <c r="O22" s="70" t="n"/>
    </row>
    <row r="23" ht="23.2" customHeight="1" s="66">
      <c r="A23" s="64" t="inlineStr">
        <is>
          <t>免费占比</t>
        </is>
      </c>
      <c r="B23" s="65">
        <f>B22/B20</f>
        <v/>
      </c>
      <c r="C23" s="65">
        <f>C22/C20</f>
        <v/>
      </c>
      <c r="D23" s="65">
        <f>D22/D20</f>
        <v/>
      </c>
      <c r="E23" s="65">
        <f>E22/E20</f>
        <v/>
      </c>
      <c r="F23" s="65">
        <f>F22/F20</f>
        <v/>
      </c>
      <c r="G23" s="65">
        <f>G22/G20</f>
        <v/>
      </c>
      <c r="H23" s="65">
        <f>H22/H20</f>
        <v/>
      </c>
      <c r="J23" s="69" t="n"/>
      <c r="O23" s="70" t="n"/>
    </row>
    <row r="24" ht="23.2" customHeight="1" s="66">
      <c r="A24" s="64" t="inlineStr">
        <is>
          <t>付费占比</t>
        </is>
      </c>
      <c r="B24" s="65">
        <f>B21/B20</f>
        <v/>
      </c>
      <c r="C24" s="65">
        <f>C21/C20</f>
        <v/>
      </c>
      <c r="D24" s="65">
        <f>D21/D20</f>
        <v/>
      </c>
      <c r="E24" s="65">
        <f>E21/E20</f>
        <v/>
      </c>
      <c r="F24" s="65">
        <f>F21/F20</f>
        <v/>
      </c>
      <c r="G24" s="65">
        <f>G21/G20</f>
        <v/>
      </c>
      <c r="H24" s="65">
        <f>H21/H20</f>
        <v/>
      </c>
      <c r="J24" s="69" t="n"/>
      <c r="O24" s="70" t="n"/>
    </row>
    <row r="25">
      <c r="A25" s="0" t="inlineStr">
        <is>
          <t>B20=5000 示例商品A 商品访客数，商智商品概况页实读（两次读数一致）。B21付费访客/B22免费访客: 未订购商享版时「单品分析/流量来源/市场模块」提示无权限，无法实读，留空待补，不推算。</t>
        </is>
      </c>
      <c r="J25" s="69" t="n"/>
      <c r="O25" s="70" t="n"/>
    </row>
    <row r="26">
      <c r="J26" s="69" t="n"/>
      <c r="O26" s="70" t="n"/>
    </row>
    <row r="27">
      <c r="A27" s="0" t="inlineStr">
        <is>
          <t>示例商品B(商智, SKU 100000000001)</t>
        </is>
      </c>
      <c r="B27" s="0" t="inlineStr">
        <is>
          <t>2026-01-01~2026-01-05</t>
        </is>
      </c>
      <c r="C27" s="0" t="inlineStr">
        <is>
          <t>2025-12-25~2025-12-31</t>
        </is>
      </c>
      <c r="J27" s="69" t="n"/>
      <c r="O27" s="70" t="n"/>
    </row>
    <row r="28">
      <c r="A28" s="0" t="inlineStr">
        <is>
          <t>总访客量</t>
        </is>
      </c>
      <c r="B28" s="0" t="n">
        <v>6000</v>
      </c>
      <c r="C28" s="0" t="n">
        <v>7000</v>
      </c>
      <c r="J28" s="69" t="n"/>
      <c r="O28" s="70" t="n"/>
    </row>
    <row r="29">
      <c r="A29" s="0" t="inlineStr">
        <is>
          <t>付费访客量</t>
        </is>
      </c>
      <c r="J29" s="69" t="n"/>
      <c r="O29" s="70" t="n"/>
    </row>
    <row r="30">
      <c r="A30" s="0" t="inlineStr">
        <is>
          <t>免费访客量</t>
        </is>
      </c>
      <c r="J30" s="69" t="n"/>
      <c r="O30" s="70" t="n"/>
    </row>
    <row r="31">
      <c r="A31" s="0" t="inlineStr">
        <is>
          <t>免费占比</t>
        </is>
      </c>
      <c r="B31" s="0">
        <f>B30/B28</f>
        <v/>
      </c>
      <c r="C31" s="0">
        <f>C30/C28</f>
        <v/>
      </c>
      <c r="J31" s="69" t="n"/>
      <c r="O31" s="70" t="n"/>
    </row>
    <row r="32">
      <c r="A32" s="0" t="inlineStr">
        <is>
          <t>付费占比</t>
        </is>
      </c>
      <c r="B32" s="0">
        <f>B29/B28</f>
        <v/>
      </c>
      <c r="C32" s="0">
        <f>C29/C28</f>
        <v/>
      </c>
      <c r="J32" s="71" t="n"/>
      <c r="K32" s="72" t="n"/>
      <c r="L32" s="72" t="n"/>
      <c r="M32" s="72" t="n"/>
      <c r="N32" s="72" t="n"/>
      <c r="O32" s="73" t="n"/>
    </row>
    <row r="33">
      <c r="A33" s="0" t="inlineStr">
        <is>
          <t>总访客量为商智商品概况实读；付费/免费访客：商智「单品分析/流量来源/广告概况」可能返回无权限（未订购商享版），无法实读，留空待补，不推算。</t>
        </is>
      </c>
    </row>
  </sheetData>
  <mergeCells count="1">
    <mergeCell ref="J20:O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topLeftCell="B1" zoomScale="57" zoomScaleNormal="57" workbookViewId="0">
      <selection activeCell="N10" sqref="N10"/>
    </sheetView>
  </sheetViews>
  <sheetFormatPr baseColWidth="8" defaultColWidth="11" defaultRowHeight="17.6"/>
  <cols>
    <col width="11.2" customWidth="1" style="66" min="1" max="1"/>
    <col width="18.9" customWidth="1" style="66" min="2" max="2"/>
    <col width="12" customWidth="1" style="66" min="3" max="3"/>
    <col width="21" customWidth="1" style="66" min="5" max="5"/>
    <col width="13.6" customWidth="1" style="66" min="6" max="6"/>
    <col width="29.6" customWidth="1" style="66" min="7" max="7"/>
    <col width="15.5" customWidth="1" style="66" min="8" max="8"/>
    <col width="17.9" customWidth="1" style="66" min="9" max="9"/>
    <col width="19.5" customWidth="1" style="66" min="10" max="10"/>
    <col width="13.5" customWidth="1" style="66" min="11" max="11"/>
    <col width="41.6" customWidth="1" style="66" min="12" max="12"/>
    <col width="22.9" customWidth="1" style="66" min="13" max="13"/>
    <col width="22.5" customWidth="1" style="66" min="14" max="14"/>
    <col width="16" customWidth="1" style="66" min="15" max="15"/>
    <col width="48.975" customWidth="1" style="66" min="16" max="16"/>
    <col width="12.5" customWidth="1" style="66" min="19" max="19"/>
  </cols>
  <sheetData>
    <row r="1" ht="28.8" customHeight="1" s="66">
      <c r="A1" s="37" t="inlineStr">
        <is>
          <t xml:space="preserve">ROI（投入产出比）=成交金额/花费  
成交金额=客单价*成交笔数=客单价*点击量*点击转化率  
花费=点击量*ppc  
ROI=客单价*点击转化率/PPC  
保本ROI=1/毛利率  
保本ROI=客单价*点击转化率/PPC  
保本PPC=客单价*点击转化率/保本ROI </t>
        </is>
      </c>
      <c r="F1" s="70" t="n"/>
      <c r="G1" s="38" t="inlineStr">
        <is>
          <t>第1步</t>
        </is>
      </c>
      <c r="H1" s="38" t="inlineStr">
        <is>
          <t>成本核算</t>
        </is>
      </c>
      <c r="I1" s="38" t="n"/>
      <c r="J1" s="38" t="inlineStr">
        <is>
          <t>第2步</t>
        </is>
      </c>
      <c r="K1" s="38" t="inlineStr">
        <is>
          <t>核算保本ROI</t>
        </is>
      </c>
      <c r="L1" s="74" t="n"/>
      <c r="M1" s="38" t="n"/>
      <c r="N1" s="38" t="inlineStr">
        <is>
          <t>第3步</t>
        </is>
      </c>
      <c r="O1" s="38" t="inlineStr">
        <is>
          <t>核算保本PPC</t>
        </is>
      </c>
      <c r="P1" s="74" t="n"/>
    </row>
    <row r="2" ht="34" customHeight="1" s="66">
      <c r="F2" s="70" t="n"/>
      <c r="G2" s="41" t="inlineStr">
        <is>
          <t>客单价</t>
        </is>
      </c>
      <c r="H2" s="42" t="n">
        <v>100</v>
      </c>
      <c r="I2" s="43" t="n"/>
      <c r="J2" s="41" t="inlineStr">
        <is>
          <t>保本ROI核算</t>
        </is>
      </c>
      <c r="K2" s="44">
        <f>1/H8</f>
        <v/>
      </c>
      <c r="L2" s="43" t="inlineStr">
        <is>
          <t>公式算法
保本ROI=1÷毛利率=售价/利润</t>
        </is>
      </c>
      <c r="M2" s="43" t="n"/>
      <c r="N2" s="41" t="inlineStr">
        <is>
          <t>预计转化率</t>
        </is>
      </c>
      <c r="O2" s="41" t="inlineStr">
        <is>
          <t>保本PPC</t>
        </is>
      </c>
      <c r="P2" s="41" t="inlineStr">
        <is>
          <t>公式算法</t>
        </is>
      </c>
    </row>
    <row r="3" ht="34" customHeight="1" s="66">
      <c r="F3" s="70" t="n"/>
      <c r="G3" s="41" t="inlineStr">
        <is>
          <t>产品成本</t>
        </is>
      </c>
      <c r="H3" s="42" t="n">
        <v>70</v>
      </c>
      <c r="I3" s="75" t="n"/>
      <c r="J3" s="45" t="n"/>
      <c r="K3" s="45" t="n"/>
      <c r="L3" s="45" t="n"/>
      <c r="M3" s="75" t="n"/>
      <c r="N3" s="42" t="n">
        <v>0.01</v>
      </c>
      <c r="O3" s="44">
        <f>$H$2*N3*H8</f>
        <v/>
      </c>
      <c r="P3" s="76" t="inlineStr">
        <is>
          <t xml:space="preserve">保本PPC=客单价*点击率转化率*毛利率
保本PPC为该转化率下，出价最高上限
高于这个价格，就会出现亏钱
降低PPC，可以提升ROI
提升转化率，可以出高价拿到更多的流量
</t>
        </is>
      </c>
    </row>
    <row r="4" ht="34" customHeight="1" s="66">
      <c r="F4" s="70" t="n"/>
      <c r="G4" s="41" t="inlineStr">
        <is>
          <t>京东扣点</t>
        </is>
      </c>
      <c r="H4" s="42" t="n">
        <v>0</v>
      </c>
      <c r="I4" s="75" t="n"/>
      <c r="J4" s="45" t="n"/>
      <c r="K4" s="45" t="n"/>
      <c r="L4" s="45" t="n"/>
      <c r="M4" s="75" t="n"/>
      <c r="N4" s="42" t="n">
        <v>0.02</v>
      </c>
      <c r="O4" s="44">
        <f>$H$2*N4*H8</f>
        <v/>
      </c>
      <c r="P4" s="75" t="n"/>
    </row>
    <row r="5" ht="34" customHeight="1" s="66">
      <c r="F5" s="70" t="n"/>
      <c r="G5" s="41" t="inlineStr">
        <is>
          <t>礼物以及包装</t>
        </is>
      </c>
      <c r="H5" s="42" t="n">
        <v>0</v>
      </c>
      <c r="I5" s="75" t="n"/>
      <c r="J5" s="45" t="n"/>
      <c r="K5" s="45" t="n"/>
      <c r="L5" s="45" t="n"/>
      <c r="M5" s="75" t="n"/>
      <c r="N5" s="42" t="n">
        <v>0.03</v>
      </c>
      <c r="O5" s="44">
        <f>$H$2*N5*H8</f>
        <v/>
      </c>
      <c r="P5" s="75" t="n"/>
    </row>
    <row r="6" ht="34" customHeight="1" s="66">
      <c r="F6" s="70" t="n"/>
      <c r="G6" s="41" t="inlineStr">
        <is>
          <t>运费</t>
        </is>
      </c>
      <c r="H6" s="42" t="n">
        <v>5</v>
      </c>
      <c r="I6" s="75" t="n"/>
      <c r="J6" s="45" t="n"/>
      <c r="K6" s="45" t="n"/>
      <c r="L6" s="45" t="n"/>
      <c r="M6" s="75" t="n"/>
      <c r="N6" s="45" t="n"/>
      <c r="O6" s="45" t="n"/>
      <c r="P6" s="75" t="n"/>
    </row>
    <row r="7" ht="34" customHeight="1" s="66">
      <c r="F7" s="70" t="n"/>
      <c r="G7" s="41" t="inlineStr">
        <is>
          <t>利润</t>
        </is>
      </c>
      <c r="H7" s="48">
        <f>H2-H3-H4-H5-H6</f>
        <v/>
      </c>
      <c r="I7" s="75" t="n"/>
      <c r="J7" s="45" t="n"/>
      <c r="K7" s="45" t="n"/>
      <c r="L7" s="45" t="n"/>
      <c r="M7" s="75" t="n"/>
      <c r="N7" s="45" t="n"/>
      <c r="O7" s="45" t="n"/>
      <c r="P7" s="75" t="n"/>
    </row>
    <row r="8" ht="34" customHeight="1" s="66">
      <c r="F8" s="70" t="n"/>
      <c r="G8" s="41" t="inlineStr">
        <is>
          <t>毛利率</t>
        </is>
      </c>
      <c r="H8" s="49">
        <f>H7/H2</f>
        <v/>
      </c>
      <c r="I8" s="77" t="n"/>
      <c r="J8" s="45" t="n"/>
      <c r="K8" s="45" t="n"/>
      <c r="L8" s="45" t="n"/>
      <c r="M8" s="77" t="n"/>
      <c r="N8" s="45" t="n"/>
      <c r="O8" s="45" t="n"/>
      <c r="P8" s="77" t="n"/>
    </row>
    <row r="9" ht="28.8" customHeight="1" s="66">
      <c r="A9" s="51" t="inlineStr">
        <is>
          <t>宝贝1</t>
        </is>
      </c>
      <c r="B9" s="51" t="inlineStr">
        <is>
          <t>点击量</t>
        </is>
      </c>
      <c r="C9" s="51" t="inlineStr">
        <is>
          <t>PPC</t>
        </is>
      </c>
      <c r="D9" s="51" t="inlineStr">
        <is>
          <t>转化率</t>
        </is>
      </c>
      <c r="E9" s="51" t="inlineStr">
        <is>
          <t>花费</t>
        </is>
      </c>
      <c r="F9" s="51" t="inlineStr">
        <is>
          <t>成交金额</t>
        </is>
      </c>
      <c r="G9" s="38" t="inlineStr">
        <is>
          <t>实际销售</t>
        </is>
      </c>
      <c r="H9" s="38" t="inlineStr">
        <is>
          <t>产品成本</t>
        </is>
      </c>
      <c r="I9" s="38" t="inlineStr">
        <is>
          <t>客单价</t>
        </is>
      </c>
      <c r="J9" s="38" t="inlineStr">
        <is>
          <t>京东扣点</t>
        </is>
      </c>
      <c r="K9" s="38" t="inlineStr">
        <is>
          <t>运费</t>
        </is>
      </c>
      <c r="L9" s="38" t="inlineStr">
        <is>
          <t>利润</t>
        </is>
      </c>
      <c r="M9" s="38" t="inlineStr">
        <is>
          <t>毛利率</t>
        </is>
      </c>
      <c r="N9" s="52" t="inlineStr">
        <is>
          <t>ROI</t>
        </is>
      </c>
      <c r="O9" s="52" t="inlineStr">
        <is>
          <t>产出笔数</t>
        </is>
      </c>
      <c r="P9" s="52" t="inlineStr">
        <is>
          <t>每日花费</t>
        </is>
      </c>
    </row>
    <row r="10" ht="28.8" customHeight="1" s="66">
      <c r="A10" s="78" t="n"/>
      <c r="B10" s="54" t="n">
        <v>10000</v>
      </c>
      <c r="C10" s="54" t="n">
        <v>0.8</v>
      </c>
      <c r="D10" s="55" t="n">
        <v>0.01</v>
      </c>
      <c r="E10" s="56">
        <f>B10*C10</f>
        <v/>
      </c>
      <c r="F10" s="56">
        <f>O10*I10</f>
        <v/>
      </c>
      <c r="G10" s="56">
        <f>F10-(F10*I14)-J14</f>
        <v/>
      </c>
      <c r="H10" s="54" t="n">
        <v>70</v>
      </c>
      <c r="I10" s="54" t="n">
        <v>100</v>
      </c>
      <c r="J10" s="54" t="n"/>
      <c r="K10" s="54" t="n">
        <v>5</v>
      </c>
      <c r="L10" s="56">
        <f>I10-H10-K10-J10</f>
        <v/>
      </c>
      <c r="M10" s="57">
        <f>(I10-H10-J10-K10)/I10</f>
        <v/>
      </c>
      <c r="N10" s="79">
        <f>F10/E10</f>
        <v/>
      </c>
      <c r="O10" s="56">
        <f>B10*D10</f>
        <v/>
      </c>
      <c r="P10" s="79">
        <f>E10/30</f>
        <v/>
      </c>
    </row>
    <row r="11" ht="28.8" customHeight="1" s="66">
      <c r="A11" s="75" t="n"/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  <c r="P11" s="56" t="n"/>
    </row>
    <row r="12" ht="28.8" customHeight="1" s="66">
      <c r="A12" s="75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</row>
    <row r="13" ht="28.8" customHeight="1" s="66">
      <c r="A13" s="75" t="n"/>
      <c r="B13" s="56" t="n"/>
      <c r="C13" s="56" t="n"/>
      <c r="D13" s="56" t="n"/>
      <c r="E13" s="56" t="n"/>
      <c r="F13" s="56" t="n"/>
      <c r="G13" s="56" t="n"/>
      <c r="H13" s="45" t="n"/>
      <c r="I13" s="38" t="inlineStr">
        <is>
          <t>退货率</t>
        </is>
      </c>
      <c r="J13" s="38" t="inlineStr">
        <is>
          <t>退货成本</t>
        </is>
      </c>
      <c r="K13" s="56" t="n"/>
      <c r="L13" s="60" t="inlineStr">
        <is>
          <t>盈亏</t>
        </is>
      </c>
      <c r="M13" s="61" t="inlineStr">
        <is>
          <t>PPC最高</t>
        </is>
      </c>
      <c r="N13" s="41" t="inlineStr">
        <is>
          <t>ROI盈亏</t>
        </is>
      </c>
      <c r="O13" s="45" t="n"/>
      <c r="P13" s="45" t="n"/>
    </row>
    <row r="14" ht="28.8" customHeight="1" s="66">
      <c r="A14" s="75" t="n"/>
      <c r="B14" s="56" t="n"/>
      <c r="C14" s="56" t="n"/>
      <c r="D14" s="56" t="n"/>
      <c r="E14" s="56" t="n"/>
      <c r="F14" s="56" t="n"/>
      <c r="G14" s="56" t="n"/>
      <c r="H14" s="45" t="n"/>
      <c r="I14" s="55" t="n">
        <v>0.05</v>
      </c>
      <c r="J14" s="56">
        <f>O10*I14*K10</f>
        <v/>
      </c>
      <c r="K14" s="56" t="n"/>
      <c r="L14" s="56">
        <f>F10*M10-E10</f>
        <v/>
      </c>
      <c r="M14" s="79">
        <f>G10*M10/B10</f>
        <v/>
      </c>
      <c r="N14" s="79">
        <f>1/M10</f>
        <v/>
      </c>
      <c r="O14" s="56" t="n"/>
      <c r="P14" s="56" t="n"/>
    </row>
    <row r="15" ht="28.8" customHeight="1" s="66">
      <c r="A15" s="77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</row>
    <row r="16" ht="28.8" customHeight="1" s="66">
      <c r="A16" s="51" t="inlineStr">
        <is>
          <t>宝贝2</t>
        </is>
      </c>
      <c r="B16" s="38" t="inlineStr">
        <is>
          <t>点击量</t>
        </is>
      </c>
      <c r="C16" s="38" t="inlineStr">
        <is>
          <t>PPC</t>
        </is>
      </c>
      <c r="D16" s="38" t="inlineStr">
        <is>
          <t>转化率</t>
        </is>
      </c>
      <c r="E16" s="38" t="inlineStr">
        <is>
          <t>花费</t>
        </is>
      </c>
      <c r="F16" s="38" t="inlineStr">
        <is>
          <t>成交金额</t>
        </is>
      </c>
      <c r="G16" s="38" t="inlineStr">
        <is>
          <t>实际销售</t>
        </is>
      </c>
      <c r="H16" s="38" t="inlineStr">
        <is>
          <t>产品成本</t>
        </is>
      </c>
      <c r="I16" s="38" t="inlineStr">
        <is>
          <t>客单价</t>
        </is>
      </c>
      <c r="J16" s="38" t="inlineStr">
        <is>
          <t>京东扣点</t>
        </is>
      </c>
      <c r="K16" s="38" t="inlineStr">
        <is>
          <t>运费</t>
        </is>
      </c>
      <c r="L16" s="38" t="inlineStr">
        <is>
          <t>利润</t>
        </is>
      </c>
      <c r="M16" s="38" t="inlineStr">
        <is>
          <t>毛利率</t>
        </is>
      </c>
      <c r="N16" s="52" t="inlineStr">
        <is>
          <t>ROI</t>
        </is>
      </c>
      <c r="O16" s="52" t="inlineStr">
        <is>
          <t>产出笔数</t>
        </is>
      </c>
      <c r="P16" s="52" t="inlineStr">
        <is>
          <t>每日花费</t>
        </is>
      </c>
    </row>
    <row r="17" ht="28.8" customHeight="1" s="66">
      <c r="A17" s="78" t="n"/>
      <c r="B17" s="56" t="n">
        <v>10000</v>
      </c>
      <c r="C17" s="56" t="n">
        <v>0.8</v>
      </c>
      <c r="D17" s="63" t="n">
        <v>0.01</v>
      </c>
      <c r="E17" s="56">
        <f>B17*C17</f>
        <v/>
      </c>
      <c r="F17" s="56">
        <f>O17*I17</f>
        <v/>
      </c>
      <c r="G17" s="56">
        <f>F17-(F17*I21)-J21</f>
        <v/>
      </c>
      <c r="H17" s="56" t="n">
        <v>70</v>
      </c>
      <c r="I17" s="56" t="n">
        <v>100</v>
      </c>
      <c r="J17" s="56" t="n"/>
      <c r="K17" s="56" t="n">
        <v>5</v>
      </c>
      <c r="L17" s="56">
        <f>I17-H17-K17-J17</f>
        <v/>
      </c>
      <c r="M17" s="57">
        <f>(I17-H17-J17-K17)/I17</f>
        <v/>
      </c>
      <c r="N17" s="79">
        <f>F17/E17</f>
        <v/>
      </c>
      <c r="O17" s="56">
        <f>B17*D17</f>
        <v/>
      </c>
      <c r="P17" s="79">
        <f>E17/30</f>
        <v/>
      </c>
    </row>
    <row r="18" ht="28.8" customHeight="1" s="66">
      <c r="A18" s="75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</row>
    <row r="19" ht="28.8" customHeight="1" s="66">
      <c r="A19" s="75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</row>
    <row r="20" ht="28.8" customHeight="1" s="66">
      <c r="A20" s="75" t="n"/>
      <c r="B20" s="56" t="n"/>
      <c r="C20" s="56" t="n"/>
      <c r="D20" s="56" t="n"/>
      <c r="E20" s="56" t="n"/>
      <c r="F20" s="56" t="n"/>
      <c r="G20" s="56" t="n"/>
      <c r="H20" s="45" t="n"/>
      <c r="I20" s="38" t="inlineStr">
        <is>
          <t>退货率</t>
        </is>
      </c>
      <c r="J20" s="38" t="inlineStr">
        <is>
          <t>退货成本</t>
        </is>
      </c>
      <c r="K20" s="56" t="n"/>
      <c r="L20" s="60" t="inlineStr">
        <is>
          <t>盈亏</t>
        </is>
      </c>
      <c r="M20" s="61" t="inlineStr">
        <is>
          <t>PPC最高</t>
        </is>
      </c>
      <c r="N20" s="41" t="inlineStr">
        <is>
          <t>ROI盈亏</t>
        </is>
      </c>
      <c r="O20" s="45" t="n"/>
      <c r="P20" s="45" t="n"/>
    </row>
    <row r="21" ht="28.8" customHeight="1" s="66">
      <c r="A21" s="75" t="n"/>
      <c r="B21" s="56" t="n"/>
      <c r="C21" s="56" t="n"/>
      <c r="D21" s="56" t="n"/>
      <c r="E21" s="56" t="n"/>
      <c r="F21" s="56" t="n"/>
      <c r="G21" s="56" t="n"/>
      <c r="H21" s="45" t="n"/>
      <c r="I21" s="63" t="n">
        <v>0.05</v>
      </c>
      <c r="J21" s="56">
        <f>O17*I21*K17</f>
        <v/>
      </c>
      <c r="K21" s="56" t="n"/>
      <c r="L21" s="56">
        <f>F17*M17-E17</f>
        <v/>
      </c>
      <c r="M21" s="79">
        <f>G17*M17/B17</f>
        <v/>
      </c>
      <c r="N21" s="79">
        <f>1/M17</f>
        <v/>
      </c>
      <c r="O21" s="56" t="n"/>
      <c r="P21" s="56" t="n"/>
    </row>
    <row r="22" ht="28.8" customHeight="1" s="66">
      <c r="A22" s="77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</row>
    <row r="23" ht="28.8" customHeight="1" s="66">
      <c r="A23" s="51" t="inlineStr">
        <is>
          <t>宝贝3</t>
        </is>
      </c>
      <c r="B23" s="38" t="inlineStr">
        <is>
          <t>点击量</t>
        </is>
      </c>
      <c r="C23" s="38" t="inlineStr">
        <is>
          <t>PPC</t>
        </is>
      </c>
      <c r="D23" s="38" t="inlineStr">
        <is>
          <t>转化率</t>
        </is>
      </c>
      <c r="E23" s="38" t="inlineStr">
        <is>
          <t>花费</t>
        </is>
      </c>
      <c r="F23" s="38" t="inlineStr">
        <is>
          <t>成交金额</t>
        </is>
      </c>
      <c r="G23" s="38" t="inlineStr">
        <is>
          <t>实际销售</t>
        </is>
      </c>
      <c r="H23" s="38" t="inlineStr">
        <is>
          <t>产品成本</t>
        </is>
      </c>
      <c r="I23" s="38" t="inlineStr">
        <is>
          <t>客单价</t>
        </is>
      </c>
      <c r="J23" s="38" t="inlineStr">
        <is>
          <t>京东扣点</t>
        </is>
      </c>
      <c r="K23" s="38" t="inlineStr">
        <is>
          <t>运费</t>
        </is>
      </c>
      <c r="L23" s="38" t="inlineStr">
        <is>
          <t>利润</t>
        </is>
      </c>
      <c r="M23" s="38" t="inlineStr">
        <is>
          <t>毛利率</t>
        </is>
      </c>
      <c r="N23" s="52" t="inlineStr">
        <is>
          <t>ROI</t>
        </is>
      </c>
      <c r="O23" s="52" t="inlineStr">
        <is>
          <t>产出笔数</t>
        </is>
      </c>
      <c r="P23" s="52" t="inlineStr">
        <is>
          <t>每日花费</t>
        </is>
      </c>
    </row>
    <row r="24" ht="28.8" customHeight="1" s="66">
      <c r="A24" s="78" t="n"/>
      <c r="B24" s="56" t="n">
        <v>10000</v>
      </c>
      <c r="C24" s="56" t="n">
        <v>0.8</v>
      </c>
      <c r="D24" s="63" t="n">
        <v>0.01</v>
      </c>
      <c r="E24" s="56">
        <f>B24*C24</f>
        <v/>
      </c>
      <c r="F24" s="56">
        <f>O24*I24</f>
        <v/>
      </c>
      <c r="G24" s="56">
        <f>F24-(F24*I28)-J28</f>
        <v/>
      </c>
      <c r="H24" s="56" t="n">
        <v>70</v>
      </c>
      <c r="I24" s="56" t="n">
        <v>100</v>
      </c>
      <c r="J24" s="56" t="n"/>
      <c r="K24" s="56" t="n">
        <v>5</v>
      </c>
      <c r="L24" s="56">
        <f>I24-H24-K24-J24</f>
        <v/>
      </c>
      <c r="M24" s="57">
        <f>(I24-H24-J24-K24)/I24</f>
        <v/>
      </c>
      <c r="N24" s="79">
        <f>F24/E24</f>
        <v/>
      </c>
      <c r="O24" s="56">
        <f>B24*D24</f>
        <v/>
      </c>
      <c r="P24" s="79">
        <f>E24/30</f>
        <v/>
      </c>
    </row>
    <row r="25" ht="28.8" customHeight="1" s="66">
      <c r="A25" s="75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</row>
    <row r="26" ht="28.8" customHeight="1" s="66">
      <c r="A26" s="75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56" t="n"/>
    </row>
    <row r="27" ht="28.8" customHeight="1" s="66">
      <c r="A27" s="75" t="n"/>
      <c r="B27" s="56" t="n"/>
      <c r="C27" s="56" t="n"/>
      <c r="D27" s="56" t="n"/>
      <c r="E27" s="56" t="n"/>
      <c r="F27" s="56" t="n"/>
      <c r="G27" s="56" t="n"/>
      <c r="H27" s="45" t="n"/>
      <c r="I27" s="38" t="inlineStr">
        <is>
          <t>退货率</t>
        </is>
      </c>
      <c r="J27" s="38" t="inlineStr">
        <is>
          <t>退货成本</t>
        </is>
      </c>
      <c r="K27" s="56" t="n"/>
      <c r="L27" s="60" t="inlineStr">
        <is>
          <t>盈亏</t>
        </is>
      </c>
      <c r="M27" s="61" t="inlineStr">
        <is>
          <t>PPC最高</t>
        </is>
      </c>
      <c r="N27" s="41" t="inlineStr">
        <is>
          <t>ROI盈亏</t>
        </is>
      </c>
      <c r="O27" s="45" t="n"/>
      <c r="P27" s="45" t="n"/>
    </row>
    <row r="28" ht="28.8" customHeight="1" s="66">
      <c r="A28" s="75" t="n"/>
      <c r="B28" s="56" t="n"/>
      <c r="C28" s="56" t="n"/>
      <c r="D28" s="56" t="n"/>
      <c r="E28" s="56" t="n"/>
      <c r="F28" s="56" t="n"/>
      <c r="G28" s="56" t="n"/>
      <c r="H28" s="45" t="n"/>
      <c r="I28" s="63" t="n">
        <v>0.05</v>
      </c>
      <c r="J28" s="56">
        <f>O24*I28*K24</f>
        <v/>
      </c>
      <c r="K28" s="56" t="n"/>
      <c r="L28" s="56">
        <f>F24*M24-E24</f>
        <v/>
      </c>
      <c r="M28" s="79">
        <f>G24*M24/B24</f>
        <v/>
      </c>
      <c r="N28" s="79">
        <f>1/M24</f>
        <v/>
      </c>
      <c r="O28" s="56" t="n"/>
      <c r="P28" s="56" t="n"/>
    </row>
    <row r="29" ht="28.8" customHeight="1" s="66">
      <c r="A29" s="77" t="n"/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</row>
    <row r="31">
      <c r="G31" s="0" t="inlineStr">
        <is>
          <t>示例商品 成本核算（示例 SKU 100000000001，1件=1单位）</t>
        </is>
      </c>
    </row>
    <row r="32">
      <c r="G32" s="0" t="inlineStr">
        <is>
          <t>客单价</t>
        </is>
      </c>
      <c r="H32" s="0" t="n">
        <v>100</v>
      </c>
    </row>
    <row r="33">
      <c r="G33" s="0" t="inlineStr">
        <is>
          <t>产品成本</t>
        </is>
      </c>
      <c r="H33" s="0" t="n">
        <v>65</v>
      </c>
    </row>
    <row r="34">
      <c r="G34" s="0" t="inlineStr">
        <is>
          <t>京东扣点率</t>
        </is>
      </c>
      <c r="H34" s="0" t="n">
        <v>0.05</v>
      </c>
    </row>
    <row r="35">
      <c r="G35" s="0" t="inlineStr">
        <is>
          <t>礼物以及包装</t>
        </is>
      </c>
      <c r="H35" s="0" t="n">
        <v>0</v>
      </c>
    </row>
    <row r="36">
      <c r="G36" s="0" t="inlineStr">
        <is>
          <t>运费</t>
        </is>
      </c>
      <c r="H36" s="0" t="n">
        <v>5</v>
      </c>
    </row>
    <row r="37">
      <c r="G37" s="0" t="inlineStr">
        <is>
          <t>利润</t>
        </is>
      </c>
      <c r="H37" s="0">
        <f>H32-H33-H32*H34-H35-H36</f>
        <v/>
      </c>
      <c r="I37" s="0" t="inlineStr">
        <is>
          <t>元/袋</t>
        </is>
      </c>
    </row>
    <row r="38">
      <c r="G38" s="0" t="inlineStr">
        <is>
          <t>毛利率</t>
        </is>
      </c>
      <c r="H38" s="0">
        <f>H37/H32</f>
        <v/>
      </c>
      <c r="I38" s="0" t="inlineStr">
        <is>
          <t>利润÷售价</t>
        </is>
      </c>
    </row>
    <row r="39">
      <c r="G39" s="0" t="inlineStr">
        <is>
          <t>保本ROI</t>
        </is>
      </c>
      <c r="H39" s="0">
        <f>1/H38</f>
        <v/>
      </c>
      <c r="I39" s="0">
        <f>1÷毛利率</f>
        <v/>
      </c>
    </row>
    <row r="41">
      <c r="G41" s="0" t="inlineStr">
        <is>
          <t>预计转化率</t>
        </is>
      </c>
      <c r="H41" s="0" t="n">
        <v>0.02</v>
      </c>
      <c r="I41" s="0" t="inlineStr">
        <is>
          <t>示例：该 SKU 实际转化率 2%</t>
        </is>
      </c>
    </row>
    <row r="42">
      <c r="G42" s="0" t="inlineStr">
        <is>
          <t>保本PPC</t>
        </is>
      </c>
      <c r="H42" s="0">
        <f>H32*H41*H38</f>
        <v/>
      </c>
      <c r="I42" s="0" t="inlineStr">
        <is>
          <t>保本PPC=客单价×转化率×毛利率（出价上限）</t>
        </is>
      </c>
    </row>
    <row r="43">
      <c r="G43" s="0" t="inlineStr">
        <is>
          <t>实际PPC</t>
        </is>
      </c>
      <c r="H43" s="0">
        <f>400/1000</f>
        <v/>
      </c>
      <c r="I43" s="0" t="inlineStr">
        <is>
          <t>示例：该计划 花费400/点击1000</t>
        </is>
      </c>
    </row>
    <row r="44">
      <c r="G44" s="0" t="inlineStr">
        <is>
          <t>实际ROI</t>
        </is>
      </c>
      <c r="H44" s="0">
        <f>2000/400</f>
        <v/>
      </c>
      <c r="I44" s="0" t="inlineStr">
        <is>
          <t>示例：广告成交2000；保本ROI=4.00，高于保本线即盈利</t>
        </is>
      </c>
    </row>
    <row r="45">
      <c r="G45" s="0" t="inlineStr">
        <is>
          <t>毛利</t>
        </is>
      </c>
      <c r="H45" s="0">
        <f>2000*H38</f>
        <v/>
      </c>
      <c r="I45" s="0" t="inlineStr">
        <is>
          <t>成交金额×毛利率</t>
        </is>
      </c>
    </row>
    <row r="46">
      <c r="G46" s="0" t="inlineStr">
        <is>
          <t>净利(毛利-广告费)</t>
        </is>
      </c>
      <c r="H46" s="0">
        <f>H45-400</f>
        <v/>
      </c>
      <c r="I46" s="0" t="inlineStr">
        <is>
          <t>扣掉广告费后的净贡献</t>
        </is>
      </c>
    </row>
    <row r="48">
      <c r="G48" s="0" t="inlineStr">
        <is>
          <t>说明: 京东扣点按 5% 计（=售价×5%）；每件成本65.00、运费5.00、售价100.00。同口径下 毛利率25.00%、保本ROI 4.00。</t>
        </is>
      </c>
    </row>
  </sheetData>
  <mergeCells count="9">
    <mergeCell ref="M2:M8"/>
    <mergeCell ref="A17:A22"/>
    <mergeCell ref="P3:P8"/>
    <mergeCell ref="K1:L1"/>
    <mergeCell ref="A24:A29"/>
    <mergeCell ref="A1:F8"/>
    <mergeCell ref="O1:P1"/>
    <mergeCell ref="A10:A15"/>
    <mergeCell ref="I2:I8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:K4"/>
    </sheetView>
  </sheetViews>
  <sheetFormatPr baseColWidth="8" defaultColWidth="9.06666666666667" defaultRowHeight="17.6"/>
  <cols>
    <col width="14.3" customWidth="1" style="66" min="1" max="1"/>
    <col width="10.55" customWidth="1" style="66" min="10" max="10"/>
  </cols>
  <sheetData>
    <row r="1">
      <c r="A1" s="15" t="inlineStr">
        <is>
          <t>计划1:示例计划A-智能化(2026-01-01~2026-01-05)</t>
        </is>
      </c>
      <c r="B1" s="16" t="inlineStr">
        <is>
          <t>展现数</t>
        </is>
      </c>
      <c r="C1" s="16" t="inlineStr">
        <is>
          <t>点击数</t>
        </is>
      </c>
      <c r="D1" s="16" t="inlineStr">
        <is>
          <t>花费</t>
        </is>
      </c>
      <c r="E1" s="16" t="inlineStr">
        <is>
          <t>平均点击成本</t>
        </is>
      </c>
      <c r="F1" s="16" t="inlineStr">
        <is>
          <t>总订单行</t>
        </is>
      </c>
      <c r="G1" s="16" t="inlineStr">
        <is>
          <t>总订单金额</t>
        </is>
      </c>
      <c r="H1" s="16" t="inlineStr">
        <is>
          <t>总加购数</t>
        </is>
      </c>
      <c r="I1" s="16" t="inlineStr">
        <is>
          <t>加购成本</t>
        </is>
      </c>
      <c r="J1" s="16" t="inlineStr">
        <is>
          <t>平均订单成本</t>
        </is>
      </c>
      <c r="K1" s="17" t="inlineStr">
        <is>
          <t>投产比</t>
        </is>
      </c>
      <c r="L1" s="18" t="n"/>
      <c r="M1" s="19" t="inlineStr">
        <is>
          <t>效果不好的词有哪些？</t>
        </is>
      </c>
    </row>
    <row r="2">
      <c r="A2" s="20" t="inlineStr">
        <is>
          <t>计划总数据</t>
        </is>
      </c>
      <c r="B2" s="21" t="n">
        <v>5000</v>
      </c>
      <c r="C2" s="21" t="n">
        <v>200</v>
      </c>
      <c r="D2" s="21" t="n">
        <v>120</v>
      </c>
      <c r="E2" s="21">
        <f>D2/C2</f>
        <v/>
      </c>
      <c r="F2" s="21" t="n">
        <v>20</v>
      </c>
      <c r="G2" s="21" t="n">
        <v>400</v>
      </c>
      <c r="H2" s="21" t="n">
        <v>90</v>
      </c>
      <c r="I2" s="21">
        <f>D2/H2</f>
        <v/>
      </c>
      <c r="J2" s="21">
        <f>D2/F2</f>
        <v/>
      </c>
      <c r="K2" s="22">
        <f>G2/D2</f>
        <v/>
      </c>
      <c r="L2" s="18" t="n"/>
      <c r="M2" s="23" t="inlineStr">
        <is>
          <t>效果不好的词(建议否定/降权, 保本ROI=4.00): 示例低效词A(花5.50/0单)、示例低效词B(5.11/0单)、示例低效词C(4.57/0单)；泛词'示例泛词'(花34.40/ROI2.63) 低于保本线，建议降价/精准否定。</t>
        </is>
      </c>
    </row>
    <row r="3">
      <c r="A3" s="20" t="inlineStr">
        <is>
          <t>搜索词下数据</t>
        </is>
      </c>
      <c r="B3" s="21" t="n">
        <v>2500</v>
      </c>
      <c r="C3" s="21" t="n">
        <v>130</v>
      </c>
      <c r="D3" s="21" t="n">
        <v>110</v>
      </c>
      <c r="E3" s="21">
        <f>D3/C3</f>
        <v/>
      </c>
      <c r="F3" s="21" t="n">
        <v>18</v>
      </c>
      <c r="G3" s="21" t="n">
        <v>360</v>
      </c>
      <c r="H3" s="21" t="n">
        <v>80</v>
      </c>
      <c r="I3" s="21">
        <f>D3/H3</f>
        <v/>
      </c>
      <c r="J3" s="21">
        <f>D3/F3</f>
        <v/>
      </c>
      <c r="K3" s="22">
        <f>G3/D3</f>
        <v/>
      </c>
      <c r="L3" s="18" t="n"/>
      <c r="M3" s="23" t="n"/>
    </row>
    <row r="4">
      <c r="A4" s="24" t="inlineStr">
        <is>
          <t>推荐数据</t>
        </is>
      </c>
      <c r="B4" s="80">
        <f>B2-B3</f>
        <v/>
      </c>
      <c r="C4" s="80">
        <f>C2-C3</f>
        <v/>
      </c>
      <c r="D4" s="80">
        <f>D2-D3</f>
        <v/>
      </c>
      <c r="E4" s="81">
        <f>D4/C4</f>
        <v/>
      </c>
      <c r="F4" s="80">
        <f>F2-F3</f>
        <v/>
      </c>
      <c r="G4" s="27">
        <f>G2-G3</f>
        <v/>
      </c>
      <c r="H4" s="80">
        <f>H2-H3</f>
        <v/>
      </c>
      <c r="I4" s="81">
        <f>D4/H4</f>
        <v/>
      </c>
      <c r="J4" s="81">
        <f>D4/F4</f>
        <v/>
      </c>
      <c r="K4" s="82">
        <f>G4/D4</f>
        <v/>
      </c>
      <c r="L4" s="18" t="n"/>
      <c r="M4" s="29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</row>
    <row r="6">
      <c r="A6" s="15" t="inlineStr">
        <is>
          <t>计划2:示例计划B-智能化(2026-01-01~2026-01-05)</t>
        </is>
      </c>
      <c r="B6" s="16" t="inlineStr">
        <is>
          <t>展现数</t>
        </is>
      </c>
      <c r="C6" s="16" t="inlineStr">
        <is>
          <t>点击数</t>
        </is>
      </c>
      <c r="D6" s="16" t="inlineStr">
        <is>
          <t>花费</t>
        </is>
      </c>
      <c r="E6" s="16" t="inlineStr">
        <is>
          <t>平均点击成本</t>
        </is>
      </c>
      <c r="F6" s="16" t="inlineStr">
        <is>
          <t>总订单行</t>
        </is>
      </c>
      <c r="G6" s="16" t="inlineStr">
        <is>
          <t>总订单金额</t>
        </is>
      </c>
      <c r="H6" s="16" t="inlineStr">
        <is>
          <t>总加购数</t>
        </is>
      </c>
      <c r="I6" s="16" t="inlineStr">
        <is>
          <t>加购成本</t>
        </is>
      </c>
      <c r="J6" s="16" t="inlineStr">
        <is>
          <t>平均订单成本</t>
        </is>
      </c>
      <c r="K6" s="17" t="inlineStr">
        <is>
          <t>投产比</t>
        </is>
      </c>
      <c r="L6" s="18" t="n"/>
      <c r="M6" s="19" t="inlineStr">
        <is>
          <t>效果不好的词有哪些？</t>
        </is>
      </c>
    </row>
    <row r="7">
      <c r="A7" s="20" t="inlineStr">
        <is>
          <t>计划总数据</t>
        </is>
      </c>
      <c r="B7" s="21" t="n">
        <v>4000</v>
      </c>
      <c r="C7" s="21" t="n">
        <v>150</v>
      </c>
      <c r="D7" s="21" t="n">
        <v>90</v>
      </c>
      <c r="E7" s="21" t="n"/>
      <c r="F7" s="21" t="n">
        <v>12</v>
      </c>
      <c r="G7" s="21" t="n">
        <v>240</v>
      </c>
      <c r="H7" s="21" t="n">
        <v>60</v>
      </c>
      <c r="I7" s="21" t="n"/>
      <c r="J7" s="21" t="n"/>
      <c r="K7" s="22" t="n"/>
      <c r="L7" s="18" t="n"/>
      <c r="M7" s="23" t="inlineStr">
        <is>
          <t>效果不好的词(建议否定): '示例词A'(花4.84/0单)、'示例词B'(4.00/0单)；高效词(建议提价放大): '示例高效词A'(ROI6.95/14单)、'示例高效词B'(11.56/6单)。</t>
        </is>
      </c>
    </row>
    <row r="8">
      <c r="A8" s="20" t="inlineStr">
        <is>
          <t>搜索词下数据</t>
        </is>
      </c>
      <c r="B8" s="21" t="n">
        <v>1800</v>
      </c>
      <c r="C8" s="21" t="n">
        <v>80</v>
      </c>
      <c r="D8" s="21" t="n">
        <v>60</v>
      </c>
      <c r="E8" s="21" t="n"/>
      <c r="F8" s="21" t="n">
        <v>8</v>
      </c>
      <c r="G8" s="21" t="n">
        <v>160</v>
      </c>
      <c r="H8" s="21" t="n">
        <v>40</v>
      </c>
      <c r="I8" s="21" t="n"/>
      <c r="J8" s="21" t="n"/>
      <c r="K8" s="22" t="n"/>
      <c r="L8" s="18" t="n"/>
      <c r="M8" s="23" t="n"/>
    </row>
    <row r="9">
      <c r="A9" s="24" t="inlineStr">
        <is>
          <t>推荐数据</t>
        </is>
      </c>
      <c r="B9" s="80">
        <f>B7-B8</f>
        <v/>
      </c>
      <c r="C9" s="80">
        <f>C7-C8</f>
        <v/>
      </c>
      <c r="D9" s="80">
        <f>D7-D8</f>
        <v/>
      </c>
      <c r="E9" s="81">
        <f>D9/C9</f>
        <v/>
      </c>
      <c r="F9" s="80">
        <f>F7-F8</f>
        <v/>
      </c>
      <c r="G9" s="27">
        <f>G7-G8</f>
        <v/>
      </c>
      <c r="H9" s="80">
        <f>H7-H8</f>
        <v/>
      </c>
      <c r="I9" s="81">
        <f>D9/H9</f>
        <v/>
      </c>
      <c r="J9" s="81">
        <f>D9/F9</f>
        <v/>
      </c>
      <c r="K9" s="82">
        <f>G9/D9</f>
        <v/>
      </c>
      <c r="L9" s="18" t="n"/>
      <c r="M9" s="29" t="n"/>
    </row>
    <row r="12">
      <c r="M12" s="30" t="inlineStr">
        <is>
          <t>分析目的：了解智能化或新客转化计划在搜索和推荐流量上的真实反馈
1、效果好的计划，了解智能化推的什么词效果好；（效果好放大预算投放）
2、效果不好的计划，了解智能化为什么效果不好；（ 推词不精准？推荐流量花费高转化差？）
     情况①：推词不精准导致效果差
                  方案：在快车-关键词-成交-投产比出价 新建计划，设置否定词 
                            在快车-人群-成交-投产比出价 建新计划
     情况②：推荐流量花费高转化差
                  方案：在快车-关键词-成交-投产比出价 新建计划</t>
        </is>
      </c>
      <c r="N12" s="67" t="n"/>
      <c r="O12" s="67" t="n"/>
      <c r="P12" s="67" t="n"/>
      <c r="Q12" s="67" t="n"/>
      <c r="R12" s="68" t="n"/>
    </row>
    <row r="13">
      <c r="M13" s="69" t="n"/>
      <c r="R13" s="70" t="n"/>
    </row>
    <row r="14">
      <c r="M14" s="69" t="n"/>
      <c r="R14" s="70" t="n"/>
    </row>
    <row r="15">
      <c r="M15" s="69" t="n"/>
      <c r="R15" s="70" t="n"/>
    </row>
    <row r="16">
      <c r="M16" s="69" t="n"/>
      <c r="R16" s="70" t="n"/>
    </row>
    <row r="17">
      <c r="M17" s="69" t="n"/>
      <c r="R17" s="70" t="n"/>
    </row>
    <row r="18">
      <c r="M18" s="69" t="n"/>
      <c r="R18" s="70" t="n"/>
    </row>
    <row r="19">
      <c r="M19" s="69" t="n"/>
      <c r="R19" s="70" t="n"/>
    </row>
    <row r="20">
      <c r="A20" s="0" t="inlineStr">
        <is>
          <t>计划1同期对照:2025-12-25~2025-12-31</t>
        </is>
      </c>
      <c r="B20" s="0" t="inlineStr">
        <is>
          <t>展现数</t>
        </is>
      </c>
      <c r="C20" s="0" t="inlineStr">
        <is>
          <t>点击数</t>
        </is>
      </c>
      <c r="D20" s="0" t="inlineStr">
        <is>
          <t>花费</t>
        </is>
      </c>
      <c r="E20" s="0" t="inlineStr">
        <is>
          <t>平均点击成本</t>
        </is>
      </c>
      <c r="F20" s="0" t="inlineStr">
        <is>
          <t>总订单行</t>
        </is>
      </c>
      <c r="G20" s="0" t="inlineStr">
        <is>
          <t>总订单金额</t>
        </is>
      </c>
      <c r="H20" s="0" t="inlineStr">
        <is>
          <t>总加购数</t>
        </is>
      </c>
      <c r="I20" s="0" t="inlineStr">
        <is>
          <t>加购成本</t>
        </is>
      </c>
      <c r="J20" s="0" t="inlineStr">
        <is>
          <t>平均订单成本</t>
        </is>
      </c>
      <c r="K20" s="0" t="inlineStr">
        <is>
          <t>投产比</t>
        </is>
      </c>
      <c r="M20" s="69" t="n"/>
      <c r="R20" s="70" t="n"/>
    </row>
    <row r="21">
      <c r="A21" s="0" t="inlineStr">
        <is>
          <t>搜索词下数据</t>
        </is>
      </c>
      <c r="B21" s="0" t="n">
        <v>3000</v>
      </c>
      <c r="C21" s="0" t="n">
        <v>160</v>
      </c>
      <c r="D21" s="0" t="n">
        <v>140</v>
      </c>
      <c r="E21" s="0">
        <f>D21/C21</f>
        <v/>
      </c>
      <c r="F21" s="0" t="n">
        <v>25</v>
      </c>
      <c r="G21" s="0" t="n">
        <v>450</v>
      </c>
      <c r="H21" s="0" t="n">
        <v>150</v>
      </c>
      <c r="M21" s="69" t="n"/>
      <c r="R21" s="70" t="n"/>
    </row>
    <row r="22">
      <c r="A22" s="0" t="inlineStr">
        <is>
          <t>注: 数据来源 京准通→报表中心→智能投放→搜索词报表（点击15天口径）；该期订单/加购列已补齐</t>
        </is>
      </c>
      <c r="M22" s="69" t="n"/>
      <c r="R22" s="70" t="n"/>
    </row>
    <row r="23">
      <c r="M23" s="69" t="n"/>
      <c r="R23" s="70" t="n"/>
    </row>
    <row r="24">
      <c r="M24" s="71" t="n"/>
      <c r="N24" s="72" t="n"/>
      <c r="O24" s="72" t="n"/>
      <c r="P24" s="72" t="n"/>
      <c r="Q24" s="72" t="n"/>
      <c r="R24" s="73" t="n"/>
    </row>
    <row r="26">
      <c r="A26" s="0" t="inlineStr">
        <is>
          <t>计划3:示例计划C-智能化 (2026-01-01~2026-01-05)</t>
        </is>
      </c>
      <c r="B26" s="0" t="inlineStr">
        <is>
          <t>展现数</t>
        </is>
      </c>
      <c r="C26" s="0" t="inlineStr">
        <is>
          <t>点击数</t>
        </is>
      </c>
      <c r="D26" s="0" t="inlineStr">
        <is>
          <t>花费</t>
        </is>
      </c>
      <c r="E26" s="0" t="inlineStr">
        <is>
          <t>平均点击成本</t>
        </is>
      </c>
      <c r="F26" s="0" t="inlineStr">
        <is>
          <t>总订单行</t>
        </is>
      </c>
      <c r="G26" s="0" t="inlineStr">
        <is>
          <t>总订单金额</t>
        </is>
      </c>
      <c r="H26" s="0" t="inlineStr">
        <is>
          <t>总加购数</t>
        </is>
      </c>
      <c r="I26" s="0" t="inlineStr">
        <is>
          <t>加购成本</t>
        </is>
      </c>
      <c r="J26" s="0" t="inlineStr">
        <is>
          <t>平均订单成本</t>
        </is>
      </c>
      <c r="K26" s="0" t="inlineStr">
        <is>
          <t>投产比</t>
        </is>
      </c>
      <c r="M26" s="0" t="inlineStr">
        <is>
          <t>效果不好的词有哪些？</t>
        </is>
      </c>
    </row>
    <row r="27">
      <c r="A27" s="0" t="inlineStr">
        <is>
          <t>计划总数据</t>
        </is>
      </c>
      <c r="B27" s="0" t="n">
        <v>8000</v>
      </c>
      <c r="C27" s="0" t="n">
        <v>400</v>
      </c>
      <c r="D27" s="0" t="n">
        <v>500</v>
      </c>
      <c r="E27" s="0">
        <f>D27/C27</f>
        <v/>
      </c>
      <c r="F27" s="0" t="n">
        <v>50</v>
      </c>
      <c r="G27" s="0" t="n">
        <v>1500</v>
      </c>
      <c r="H27" s="0" t="n">
        <v>300</v>
      </c>
      <c r="I27" s="0">
        <f>D27/H27</f>
        <v/>
      </c>
      <c r="J27" s="0">
        <f>D27/F27</f>
        <v/>
      </c>
      <c r="K27" s="0">
        <f>G27/D27</f>
        <v/>
      </c>
      <c r="M27" s="0" t="inlineStr">
        <is>
          <t>效果不好的词(建议否定/降权, 本品保本ROI=4.00): 示例低效词D(17.45/0单)、示例低效词E(8.42/0单)、示例低效词F(6.42/0单)；'示例泛词2'(花14.40/ROI2.27) 低于保本，建议降价。
高效词(建议提价放大): '示例高效词C'(ROI15.50/14单)、'示例高效词D'(8.42/4单)。</t>
        </is>
      </c>
    </row>
    <row r="28">
      <c r="A28" s="0" t="inlineStr">
        <is>
          <t>搜索词下数据</t>
        </is>
      </c>
      <c r="B28" s="0" t="n">
        <v>3500</v>
      </c>
      <c r="C28" s="0" t="n">
        <v>250</v>
      </c>
      <c r="D28" s="0" t="n">
        <v>420</v>
      </c>
      <c r="E28" s="0">
        <f>D28/C28</f>
        <v/>
      </c>
      <c r="F28" s="0" t="n">
        <v>40</v>
      </c>
      <c r="G28" s="0" t="n">
        <v>1300</v>
      </c>
      <c r="H28" s="0" t="n">
        <v>260</v>
      </c>
      <c r="I28" s="0">
        <f>D28/H28</f>
        <v/>
      </c>
      <c r="J28" s="0">
        <f>D28/F28</f>
        <v/>
      </c>
      <c r="K28" s="0">
        <f>G28/D28</f>
        <v/>
      </c>
    </row>
    <row r="29">
      <c r="A29" s="0" t="inlineStr">
        <is>
          <t>推荐数据</t>
        </is>
      </c>
      <c r="B29" s="0">
        <f>B27-B28</f>
        <v/>
      </c>
      <c r="C29" s="0">
        <f>C27-C28</f>
        <v/>
      </c>
      <c r="D29" s="0">
        <f>D27-D28</f>
        <v/>
      </c>
      <c r="E29" s="0">
        <f>D29/C29</f>
        <v/>
      </c>
      <c r="F29" s="0">
        <f>F27-F28</f>
        <v/>
      </c>
      <c r="G29" s="0">
        <f>G27-G28</f>
        <v/>
      </c>
      <c r="H29" s="0">
        <f>H27-H28</f>
        <v/>
      </c>
      <c r="I29" s="0">
        <f>D29/H29</f>
        <v/>
      </c>
      <c r="J29" s="0">
        <f>D29/F29</f>
        <v/>
      </c>
      <c r="K29" s="0">
        <f>G29/D29</f>
        <v/>
      </c>
    </row>
    <row r="31">
      <c r="A31" s="0" t="inlineStr">
        <is>
          <t>计划3同期对照:2025-12-25~2025-12-31</t>
        </is>
      </c>
      <c r="B31" s="0" t="inlineStr">
        <is>
          <t>展现数</t>
        </is>
      </c>
      <c r="C31" s="0" t="inlineStr">
        <is>
          <t>点击数</t>
        </is>
      </c>
      <c r="D31" s="0" t="inlineStr">
        <is>
          <t>花费</t>
        </is>
      </c>
      <c r="E31" s="0" t="inlineStr">
        <is>
          <t>平均点击成本</t>
        </is>
      </c>
      <c r="F31" s="0" t="inlineStr">
        <is>
          <t>总订单行</t>
        </is>
      </c>
      <c r="G31" s="0" t="inlineStr">
        <is>
          <t>总订单金额</t>
        </is>
      </c>
      <c r="H31" s="0" t="inlineStr">
        <is>
          <t>总加购数</t>
        </is>
      </c>
      <c r="I31" s="0" t="inlineStr">
        <is>
          <t>加购成本</t>
        </is>
      </c>
      <c r="J31" s="0" t="inlineStr">
        <is>
          <t>平均订单成本</t>
        </is>
      </c>
      <c r="K31" s="0" t="inlineStr">
        <is>
          <t>投产比</t>
        </is>
      </c>
    </row>
    <row r="32">
      <c r="A32" s="0" t="inlineStr">
        <is>
          <t>计划总数据</t>
        </is>
      </c>
      <c r="B32" s="0" t="n">
        <v>9000</v>
      </c>
      <c r="C32" s="0" t="n">
        <v>450</v>
      </c>
      <c r="D32" s="0" t="n">
        <v>560</v>
      </c>
      <c r="E32" s="0">
        <f>D32/C32</f>
        <v/>
      </c>
      <c r="F32" s="0" t="n">
        <v>55</v>
      </c>
      <c r="G32" s="0" t="n">
        <v>1600</v>
      </c>
      <c r="H32" s="0" t="n">
        <v>330</v>
      </c>
      <c r="I32" s="0">
        <f>D32/H32</f>
        <v/>
      </c>
      <c r="J32" s="0">
        <f>D32/F32</f>
        <v/>
      </c>
      <c r="K32" s="0">
        <f>G32/D32</f>
        <v/>
      </c>
    </row>
    <row r="33">
      <c r="A33" s="0" t="inlineStr">
        <is>
          <t>搜索词下数据</t>
        </is>
      </c>
      <c r="B33" s="0" t="n">
        <v>4000</v>
      </c>
      <c r="C33" s="0" t="n">
        <v>280</v>
      </c>
      <c r="D33" s="0" t="n">
        <v>470</v>
      </c>
      <c r="E33" s="0">
        <f>D33/C33</f>
        <v/>
      </c>
      <c r="F33" s="0" t="n">
        <v>44</v>
      </c>
      <c r="G33" s="0" t="n">
        <v>1400</v>
      </c>
      <c r="H33" s="0" t="n">
        <v>290</v>
      </c>
      <c r="I33" s="0">
        <f>D33/H33</f>
        <v/>
      </c>
      <c r="J33" s="0">
        <f>D33/F33</f>
        <v/>
      </c>
      <c r="K33" s="0">
        <f>G33/D33</f>
        <v/>
      </c>
    </row>
    <row r="34">
      <c r="A34" s="0" t="inlineStr">
        <is>
          <t>推荐数据</t>
        </is>
      </c>
      <c r="B34" s="0">
        <f>B32-B33</f>
        <v/>
      </c>
      <c r="C34" s="0">
        <f>C32-C33</f>
        <v/>
      </c>
      <c r="D34" s="0">
        <f>D32-D33</f>
        <v/>
      </c>
      <c r="E34" s="0">
        <f>D34/C34</f>
        <v/>
      </c>
      <c r="F34" s="0">
        <f>F32-F33</f>
        <v/>
      </c>
      <c r="G34" s="0">
        <f>G32-G33</f>
        <v/>
      </c>
      <c r="H34" s="0">
        <f>H32-H33</f>
        <v/>
      </c>
      <c r="I34" s="0">
        <f>D34/H34</f>
        <v/>
      </c>
      <c r="J34" s="0">
        <f>D34/F34</f>
        <v/>
      </c>
      <c r="K34" s="0">
        <f>G34/D34</f>
        <v/>
      </c>
    </row>
    <row r="35">
      <c r="A35" s="0" t="inlineStr">
        <is>
          <t>注: 数据来源 京准通→报表中心→智能投放→搜索词报表（点击15天口径）；商智 SKU 100000000001。</t>
        </is>
      </c>
    </row>
  </sheetData>
  <mergeCells count="1">
    <mergeCell ref="M12:R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tabSelected="1" topLeftCell="A5" workbookViewId="0">
      <selection activeCell="C19" sqref="C19"/>
    </sheetView>
  </sheetViews>
  <sheetFormatPr baseColWidth="8" defaultColWidth="9.06666666666667" defaultRowHeight="17.6"/>
  <cols>
    <col width="15.975" customWidth="1" style="66" min="1" max="1"/>
    <col width="16.8" customWidth="1" style="66" min="2" max="2"/>
    <col width="12.4916666666667" customWidth="1" style="66" min="3" max="3"/>
    <col width="15.1416666666667" customWidth="1" style="66" min="5" max="5"/>
    <col width="11.8" customWidth="1" style="66" min="6" max="6"/>
    <col width="13.6083333333333" customWidth="1" style="66" min="7" max="7"/>
  </cols>
  <sheetData>
    <row r="1">
      <c r="A1" s="0" t="inlineStr">
        <is>
          <t>自身</t>
        </is>
      </c>
    </row>
    <row r="5">
      <c r="A5" s="1" t="inlineStr">
        <is>
          <t>自身数据</t>
        </is>
      </c>
      <c r="B5" s="2" t="inlineStr">
        <is>
          <t>展现指数</t>
        </is>
      </c>
      <c r="C5" s="2" t="inlineStr">
        <is>
          <t>占比情况</t>
        </is>
      </c>
      <c r="D5" s="4" t="n"/>
      <c r="E5" s="1" t="inlineStr">
        <is>
          <t>竞品品牌1</t>
        </is>
      </c>
      <c r="F5" s="2" t="inlineStr">
        <is>
          <t>展现指数</t>
        </is>
      </c>
      <c r="G5" s="2" t="inlineStr">
        <is>
          <t>占比情况</t>
        </is>
      </c>
      <c r="H5" s="4" t="n"/>
      <c r="I5" s="4" t="n"/>
      <c r="J5" s="4" t="n"/>
      <c r="K5" s="4" t="n"/>
    </row>
    <row r="6">
      <c r="A6" s="5" t="inlineStr">
        <is>
          <t>计划总数据</t>
        </is>
      </c>
      <c r="B6" s="21" t="n"/>
      <c r="C6" s="21" t="n"/>
      <c r="D6" s="8" t="n"/>
      <c r="E6" s="5" t="inlineStr">
        <is>
          <t>计划总数据</t>
        </is>
      </c>
      <c r="F6" s="21" t="n"/>
      <c r="G6" s="21" t="n"/>
      <c r="H6" s="8" t="n"/>
      <c r="I6" s="8" t="n"/>
      <c r="J6" s="8" t="n"/>
      <c r="K6" s="8" t="n"/>
    </row>
    <row r="7">
      <c r="A7" s="5" t="inlineStr">
        <is>
          <t>智能化</t>
        </is>
      </c>
      <c r="B7" s="21" t="n">
        <v>50000</v>
      </c>
      <c r="C7" s="21" t="n"/>
      <c r="D7" s="8" t="n"/>
      <c r="E7" s="5" t="inlineStr">
        <is>
          <t>智能化</t>
        </is>
      </c>
      <c r="F7" s="21" t="n"/>
      <c r="G7" s="21" t="n"/>
      <c r="H7" s="8" t="n"/>
      <c r="I7" s="8" t="n"/>
      <c r="J7" s="8" t="n"/>
      <c r="K7" s="8" t="n"/>
    </row>
    <row r="8">
      <c r="A8" s="5" t="inlineStr">
        <is>
          <t>关键词</t>
        </is>
      </c>
      <c r="B8" s="83" t="n">
        <v>12000</v>
      </c>
      <c r="C8" s="83" t="n"/>
      <c r="D8" s="84" t="n"/>
      <c r="E8" s="5" t="inlineStr">
        <is>
          <t>关键词</t>
        </is>
      </c>
      <c r="F8" s="83" t="n"/>
      <c r="G8" s="83" t="n"/>
      <c r="H8" s="84" t="n"/>
      <c r="I8" s="85" t="n"/>
      <c r="J8" s="85" t="n"/>
      <c r="K8" s="85" t="n"/>
    </row>
    <row r="9">
      <c r="A9" s="13" t="inlineStr">
        <is>
          <t>商品成交</t>
        </is>
      </c>
      <c r="B9" s="14" t="n"/>
      <c r="C9" s="14" t="n"/>
      <c r="E9" s="13" t="inlineStr">
        <is>
          <t>商品成交</t>
        </is>
      </c>
      <c r="F9" s="14" t="n"/>
      <c r="G9" s="14" t="n"/>
    </row>
    <row r="10">
      <c r="A10" s="13" t="inlineStr">
        <is>
          <t>种草人群</t>
        </is>
      </c>
      <c r="B10" s="14" t="n"/>
      <c r="C10" s="14" t="n"/>
      <c r="E10" s="13" t="inlineStr">
        <is>
          <t>种草人群</t>
        </is>
      </c>
      <c r="F10" s="14" t="n"/>
      <c r="G10" s="14" t="n"/>
    </row>
    <row r="11">
      <c r="A11" s="13" t="inlineStr">
        <is>
          <t>全站智能推广</t>
        </is>
      </c>
      <c r="B11" s="14" t="n">
        <v>30000</v>
      </c>
      <c r="C11" s="14" t="n"/>
      <c r="E11" s="13" t="inlineStr">
        <is>
          <t>全站智能推广</t>
        </is>
      </c>
      <c r="F11" s="14" t="n"/>
      <c r="G11" s="14" t="n"/>
    </row>
    <row r="12">
      <c r="A12" s="13" t="inlineStr">
        <is>
          <t>全店商品推广</t>
        </is>
      </c>
      <c r="B12" s="14" t="n"/>
      <c r="C12" s="14" t="n"/>
      <c r="E12" s="13" t="inlineStr">
        <is>
          <t>全店商品推广</t>
        </is>
      </c>
      <c r="F12" s="14" t="n"/>
      <c r="G12" s="14" t="n"/>
    </row>
    <row r="13">
      <c r="A13" s="13" t="inlineStr">
        <is>
          <t>新品推广</t>
        </is>
      </c>
      <c r="B13" s="14" t="n"/>
      <c r="C13" s="14" t="n"/>
      <c r="E13" s="13" t="inlineStr">
        <is>
          <t>新品推广</t>
        </is>
      </c>
      <c r="F13" s="14" t="n"/>
      <c r="G13" s="14" t="n"/>
    </row>
    <row r="14">
      <c r="A14" s="13" t="inlineStr">
        <is>
          <t>新客推广</t>
        </is>
      </c>
      <c r="B14" s="14" t="n"/>
      <c r="C14" s="14" t="n"/>
      <c r="E14" s="13" t="inlineStr">
        <is>
          <t>新客推广</t>
        </is>
      </c>
      <c r="F14" s="14" t="n"/>
      <c r="G14" s="14" t="n"/>
    </row>
    <row r="15">
      <c r="A15" s="13" t="inlineStr">
        <is>
          <t>品牌追击</t>
        </is>
      </c>
      <c r="B15" s="14" t="n"/>
      <c r="C15" s="14" t="n"/>
      <c r="E15" s="13" t="inlineStr">
        <is>
          <t>品牌追击</t>
        </is>
      </c>
      <c r="F15" s="14" t="n"/>
      <c r="G15" s="14" t="n"/>
    </row>
    <row r="16">
      <c r="A16" s="13" t="inlineStr">
        <is>
          <t>顶部店铺</t>
        </is>
      </c>
      <c r="B16" s="14" t="n"/>
      <c r="C16" s="14" t="n"/>
      <c r="E16" s="13" t="inlineStr">
        <is>
          <t>顶部店铺</t>
        </is>
      </c>
      <c r="F16" s="14" t="n"/>
      <c r="G16" s="14" t="n"/>
    </row>
    <row r="17">
      <c r="A17" s="13" t="inlineStr">
        <is>
          <t>腰带店铺</t>
        </is>
      </c>
      <c r="B17" s="14" t="n"/>
      <c r="C17" s="14" t="n"/>
      <c r="E17" s="13" t="inlineStr">
        <is>
          <t>腰带店铺</t>
        </is>
      </c>
      <c r="F17" s="14" t="n"/>
      <c r="G17" s="14" t="n"/>
    </row>
    <row r="19">
      <c r="A19" s="0" t="inlineStr">
        <is>
          <t>注: 自身展现数取自账户报表；商品成交/种草人群/新品推广/新客推广/品牌追击/顶部店铺/腰带店铺 无对应可读接口，留空。竞品品牌列需另行开通竞品分析模块。</t>
        </is>
      </c>
    </row>
    <row r="21">
      <c r="A21" s="0" t="inlineStr">
        <is>
          <t>示例商品B(自身, 2026-01-01~2026-01-05)</t>
        </is>
      </c>
      <c r="B21" s="0" t="inlineStr">
        <is>
          <t>展现指数</t>
        </is>
      </c>
    </row>
    <row r="22">
      <c r="A22" s="0" t="inlineStr">
        <is>
          <t>智能化</t>
        </is>
      </c>
      <c r="B22" s="0" t="n">
        <v>15000</v>
      </c>
    </row>
    <row r="23">
      <c r="A23" s="0" t="inlineStr">
        <is>
          <t>关键词</t>
        </is>
      </c>
      <c r="B23" s="0" t="inlineStr">
        <is>
          <t>—</t>
        </is>
      </c>
    </row>
    <row r="24">
      <c r="A24" s="0" t="inlineStr">
        <is>
          <t>全站智能推广</t>
        </is>
      </c>
      <c r="B24" s="0" t="inlineStr">
        <is>
          <t>—</t>
        </is>
      </c>
    </row>
    <row r="25">
      <c r="A25" s="0" t="inlineStr">
        <is>
          <t>该商品仅投放「智能化」计划，展现15000；关键词/全站智能/商品成交/种草人群 等分层无对应可读接口，留空。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2021-08-11T10:29:00Z</dcterms:created>
  <dcterms:modified xsi:type="dcterms:W3CDTF">2026-10-06T14:54:40Z</dcterms:modified>
  <cp:lastModifiedBy>•焱焱子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85A73DB786DF47A6BDFA93900B108283</vt:lpwstr>
  </property>
  <property name="KSOProductBuildVer" fmtid="{D5CDD505-2E9C-101B-9397-08002B2CF9AE}" pid="3">
    <vt:lpwstr>2052-12.1.28496.28496</vt:lpwstr>
  </property>
  <property name="CalculationRule" fmtid="{D5CDD505-2E9C-101B-9397-08002B2CF9AE}" pid="4">
    <vt:i4>0</vt:i4>
  </property>
</Properties>
</file>